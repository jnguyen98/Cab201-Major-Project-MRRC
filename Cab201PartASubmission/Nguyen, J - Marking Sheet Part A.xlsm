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vbaProject.bin" ContentType="application/vnd.ms-office.vbaProject"/>
  <Override PartName="/xl/sharedStrings.xml" ContentType="application/vnd.openxmlformats-officedocument.spreadsheetml.sharedString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1.xml.rels" ContentType="application/vnd.openxmlformats-package.relationships+xml"/>
  <Override PartName="/customXml/_rels/item2.xml.rels" ContentType="application/vnd.openxmlformats-package.relationships+xml"/>
  <Override PartName="/customXml/_rels/item3.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definedNames>
    <definedName function="false" hidden="false" name="Bonus_Feedback" vbProcedure="false">Sheet1!$B$78</definedName>
    <definedName function="false" hidden="false" name="Bonus_Scores" vbProcedure="false">Sheet1!$H$74:$H$75</definedName>
    <definedName function="false" hidden="false" name="FileIO_Feedback" vbProcedure="false">Sheet1!$B$27</definedName>
    <definedName function="false" hidden="false" name="FileIO_Scores" vbProcedure="false">Sheet1!$H$21:$H$24</definedName>
    <definedName function="false" hidden="false" name="First_Name" vbProcedure="false">Sheet1!$D$5</definedName>
    <definedName function="false" hidden="false" name="Last_Name" vbProcedure="false">Sheet1!$D$4</definedName>
    <definedName function="false" hidden="false" name="Marking_Directory" vbProcedure="false">Sheet1!$N$3</definedName>
    <definedName function="false" hidden="false" name="Presentation_Feedback" vbProcedure="false">Sheet1!$B$70</definedName>
    <definedName function="false" hidden="false" name="Presentation_Scores" vbProcedure="false">Sheet1!$H$64:$H$67</definedName>
    <definedName function="false" hidden="false" name="Quality_Feedback" vbProcedure="false">Sheet1!$B$60</definedName>
    <definedName function="false" hidden="false" name="Quality_Scores" vbProcedure="false">Sheet1!$H$53:$H$57</definedName>
    <definedName function="false" hidden="false" name="Student_ID" vbProcedure="false">Sheet1!$D$6</definedName>
    <definedName function="false" hidden="false" name="Submission_Items_Feedback" vbProcedure="false">Sheet1!$B$17</definedName>
    <definedName function="false" hidden="false" name="Submission_Items_Scores" vbProcedure="false">Sheet1!$H$10:$H$14</definedName>
    <definedName function="false" hidden="false" name="UI_Feedback" vbProcedure="false">Sheet1!$B$49</definedName>
    <definedName function="false" hidden="false" name="UI_Scores" vbProcedure="false">Sheet1!$H$31:$H$46</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<sst xmlns="http://schemas.openxmlformats.org/spreadsheetml/2006/main" count="93" uniqueCount="68">
  <si>
    <t xml:space="preserve">Marking Sheet: Major Project - Part A</t>
  </si>
  <si>
    <t xml:space="preserve">CAB201 - Programming Principles</t>
  </si>
  <si>
    <t xml:space="preserve">Marking Directory:</t>
  </si>
  <si>
    <t xml:space="preserve">C:\Users\james\Downloads\</t>
  </si>
  <si>
    <t xml:space="preserve">Last Name:</t>
  </si>
  <si>
    <t xml:space="preserve">Nguyen</t>
  </si>
  <si>
    <t xml:space="preserve">Marker:</t>
  </si>
  <si>
    <t xml:space="preserve">James Weeks</t>
  </si>
  <si>
    <t xml:space="preserve">First Name:</t>
  </si>
  <si>
    <t xml:space="preserve">John</t>
  </si>
  <si>
    <t xml:space="preserve">Score:</t>
  </si>
  <si>
    <t xml:space="preserve">/70</t>
  </si>
  <si>
    <t xml:space="preserve">Student ID:</t>
  </si>
  <si>
    <t xml:space="preserve">n10132767</t>
  </si>
  <si>
    <t xml:space="preserve">Grade:</t>
  </si>
  <si>
    <t xml:space="preserve">Submission Items</t>
  </si>
  <si>
    <t xml:space="preserve">Score</t>
  </si>
  <si>
    <t xml:space="preserve">Max</t>
  </si>
  <si>
    <t xml:space="preserve">Each of the items below are required for submission, failure to submit any of these items will result in a loss of points. If any of the items are submitted but left incomplete you will lose a portion of the amount listed on the right of the table. The amount lost will be proportional to the amount of incomplete work.</t>
  </si>
  <si>
    <t xml:space="preserve">Project Documentation</t>
  </si>
  <si>
    <t xml:space="preserve">Statement of Completeness  </t>
  </si>
  <si>
    <t xml:space="preserve">Program Transcript</t>
  </si>
  <si>
    <t xml:space="preserve">Self-filled CRA</t>
  </si>
  <si>
    <t xml:space="preserve">Class Diagram</t>
  </si>
  <si>
    <t xml:space="preserve">Total</t>
  </si>
  <si>
    <t xml:space="preserve">Feedback</t>
  </si>
  <si>
    <t xml:space="preserve">Functionality – File I/O</t>
  </si>
  <si>
    <t xml:space="preserve">To gain points for this section, it must be clear that your program can read and write to and from the provided samples files. To demonstrate the write functionality your program must be able to add/remove/modify the vehicles/customers data and save it to the appropriate file. To demonstrate the read functionality your program must be able to correctly interpret data from the files before and after writing.</t>
  </si>
  <si>
    <t xml:space="preserve">Read</t>
  </si>
  <si>
    <t xml:space="preserve">Customer data can be read from a file (customers.csv)</t>
  </si>
  <si>
    <t xml:space="preserve">Vehicle data can be read from a file (vehicles.csv)</t>
  </si>
  <si>
    <t xml:space="preserve">Write</t>
  </si>
  <si>
    <t xml:space="preserve">Customer data can be written to a file (customers.csv)</t>
  </si>
  <si>
    <t xml:space="preserve">Vehicle data can be written to a file (vehicles.csv)</t>
  </si>
  <si>
    <t xml:space="preserve">Functionality – User Interface</t>
  </si>
  <si>
    <t xml:space="preserve">To gain points for this section, the following features must be easily accessible and testable via the console user interface. All of the following functionalities must be demonstrated in the program transcript.</t>
  </si>
  <si>
    <t xml:space="preserve">CRM</t>
  </si>
  <si>
    <t xml:space="preserve">View list of customers</t>
  </si>
  <si>
    <t xml:space="preserve">Add customer</t>
  </si>
  <si>
    <t xml:space="preserve">Validation – Unique customer ID</t>
  </si>
  <si>
    <t xml:space="preserve">Validation – Valid input fields</t>
  </si>
  <si>
    <t xml:space="preserve">Modify customer</t>
  </si>
  <si>
    <t xml:space="preserve">Remove customer</t>
  </si>
  <si>
    <t xml:space="preserve">Fleet</t>
  </si>
  <si>
    <t xml:space="preserve">View list of vehicles</t>
  </si>
  <si>
    <t xml:space="preserve">Add vehicle</t>
  </si>
  <si>
    <t xml:space="preserve">Validation – Unique registration</t>
  </si>
  <si>
    <t xml:space="preserve">Modify vehicle</t>
  </si>
  <si>
    <t xml:space="preserve">Remove vehicle</t>
  </si>
  <si>
    <t xml:space="preserve">Customers:
- Allows numeric input for title, name, gender, etc.
- Rejects valid dates of birth that are less than 18 years ago
Fleet:
- The maximum number of seats is 10, not 8
- Allows numeric inputs for fuel, transmission, etc.</t>
  </si>
  <si>
    <t xml:space="preserve">Code Quality</t>
  </si>
  <si>
    <r>
      <rPr>
        <sz val="11"/>
        <color rgb="FF000000"/>
        <rFont val="Calibri"/>
        <family val="2"/>
        <charset val="1"/>
      </rPr>
      <t xml:space="preserve">To gain points for this section, you must maintain good code quality throughout your whole project. While following the CAB201 C# Coding Style Guide will help you meet these criteria, you do not have to follow it to the letter (at the least you must be consistent and clear). 
</t>
    </r>
    <r>
      <rPr>
        <b val="true"/>
        <sz val="11"/>
        <color rgb="FF000000"/>
        <rFont val="Calibri"/>
        <family val="2"/>
        <charset val="1"/>
      </rPr>
      <t xml:space="preserve">Important:</t>
    </r>
    <r>
      <rPr>
        <sz val="11"/>
        <color rgb="FF000000"/>
        <rFont val="Calibri"/>
        <family val="2"/>
        <charset val="1"/>
      </rPr>
      <t xml:space="preserve"> Your target reader is a programmer, not an absolute beginner.</t>
    </r>
  </si>
  <si>
    <t xml:space="preserve">Maintained, consistent and clear standard in variable, method and class naming. </t>
  </si>
  <si>
    <t xml:space="preserve">Magic number have been replaced with appropriately named constants.</t>
  </si>
  <si>
    <t xml:space="preserve">Consistent and appropriate white spacing, line length, indentation, and separation into files within the project (i.e. one class per file)</t>
  </si>
  <si>
    <t xml:space="preserve">Class header comment at beginning of each class, comment before every method, and in-line comments to explain complex or not easily discernible code. In-line comments are not excessive.</t>
  </si>
  <si>
    <t xml:space="preserve">Methods are single purpose and clear, and code is reasonably efficient and succinct.</t>
  </si>
  <si>
    <t xml:space="preserve">Presentation</t>
  </si>
  <si>
    <t xml:space="preserve">To gain points for this section, you must ensure your user interface is of a high quality. Your interface does not need to be flashy or overly visually appealing – instead you should focus on making it clear, intuitive and easy to use.</t>
  </si>
  <si>
    <t xml:space="preserve">Incorrect input is handled appropriately and clearly.</t>
  </si>
  <si>
    <t xml:space="preserve">The overall design is clean and uncluttered. Data is displayed clearly.</t>
  </si>
  <si>
    <t xml:space="preserve">All necessary functionality of the UI is clear, easy, and quick to access.</t>
  </si>
  <si>
    <t xml:space="preserve">Special cases are handled nicely (e.g. when the user requests a list of vehicles and there are no vehicles, a message is displayed rather than just an empty list of vehicles).</t>
  </si>
  <si>
    <t xml:space="preserve">Navigating the menus and submenus are annoying, please just redirect back to the parent menu (not main menu) after the operation</t>
  </si>
  <si>
    <t xml:space="preserve">Bonus Criteria</t>
  </si>
  <si>
    <t xml:space="preserve">To gain points for this section, you must implement advanced OOP concepts in your code. You have freedom in where/how these concepts are implemented in your code. Ask the teaching team if you require some advice or guidance.</t>
  </si>
  <si>
    <t xml:space="preserve">Project code exhibits at least one good use of encapsulation (separate from the classes detailed in the class diagram).</t>
  </si>
  <si>
    <t xml:space="preserve">Project code exhibits at least one good use of inheritance.</t>
  </si>
</sst>
</file>

<file path=xl/styles.xml><?xml version="1.0" encoding="utf-8"?>
<styleSheet xmlns="http://schemas.openxmlformats.org/spreadsheetml/2006/main">
  <numFmts count="5">
    <numFmt numFmtId="164" formatCode="General"/>
    <numFmt numFmtId="165" formatCode="0"/>
    <numFmt numFmtId="166" formatCode="@"/>
    <numFmt numFmtId="167" formatCode="d/mm/yyyy"/>
    <numFmt numFmtId="168" formatCode="General"/>
  </numFmts>
  <fonts count="7">
    <font>
      <sz val="11"/>
      <color rgb="FF000000"/>
      <name val="Calibri"/>
      <family val="2"/>
      <charset val="1"/>
    </font>
    <font>
      <sz val="10"/>
      <name val="Arial"/>
      <family val="0"/>
    </font>
    <font>
      <sz val="10"/>
      <name val="Arial"/>
      <family val="0"/>
    </font>
    <font>
      <sz val="10"/>
      <name val="Arial"/>
      <family val="0"/>
    </font>
    <font>
      <sz val="24"/>
      <color rgb="FF000000"/>
      <name val="Calibri"/>
      <family val="2"/>
      <charset val="1"/>
    </font>
    <font>
      <sz val="18"/>
      <color rgb="FF000000"/>
      <name val="Calibri"/>
      <family val="2"/>
      <charset val="1"/>
    </font>
    <font>
      <b val="true"/>
      <sz val="11"/>
      <color rgb="FF000000"/>
      <name val="Calibri"/>
      <family val="2"/>
      <charset val="1"/>
    </font>
  </fonts>
  <fills count="3">
    <fill>
      <patternFill patternType="none"/>
    </fill>
    <fill>
      <patternFill patternType="gray125"/>
    </fill>
    <fill>
      <patternFill patternType="solid">
        <fgColor rgb="FFD9D9D9"/>
        <bgColor rgb="FFC0C0C0"/>
      </patternFill>
    </fill>
  </fills>
  <borders count="21">
    <border diagonalUp="false" diagonalDown="false">
      <left/>
      <right/>
      <top/>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right style="thin">
        <color rgb="FFFFFFFF"/>
      </right>
      <top style="thin">
        <color rgb="FFFFFFFF"/>
      </top>
      <bottom style="thin">
        <color rgb="FFFFFFFF"/>
      </bottom>
      <diagonal/>
    </border>
    <border diagonalUp="false" diagonalDown="false">
      <left style="thin">
        <color rgb="FFFFFFFF"/>
      </left>
      <right/>
      <top style="thin">
        <color rgb="FFFFFFFF"/>
      </top>
      <bottom style="thin">
        <color rgb="FFFFFFFF"/>
      </bottom>
      <diagonal/>
    </border>
    <border diagonalUp="false" diagonalDown="false">
      <left/>
      <right style="thin">
        <color rgb="FFFFFFFF"/>
      </right>
      <top style="thin">
        <color rgb="FFFFFFFF"/>
      </top>
      <bottom/>
      <diagonal/>
    </border>
    <border diagonalUp="false" diagonalDown="false">
      <left style="thin">
        <color rgb="FFFFFFFF"/>
      </left>
      <right style="thin">
        <color rgb="FFFFFFFF"/>
      </right>
      <top style="thin">
        <color rgb="FFFFFFFF"/>
      </top>
      <bottom/>
      <diagonal/>
    </border>
    <border diagonalUp="false" diagonalDown="false">
      <left style="thin"/>
      <right/>
      <top style="thin"/>
      <bottom/>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style="thin"/>
      <right/>
      <top/>
      <bottom style="thin"/>
      <diagonal/>
    </border>
    <border diagonalUp="false" diagonalDown="false">
      <left style="thin"/>
      <right style="thin"/>
      <top style="thin"/>
      <bottom/>
      <diagonal/>
    </border>
    <border diagonalUp="false" diagonalDown="false">
      <left/>
      <right style="thin"/>
      <top/>
      <bottom/>
      <diagonal/>
    </border>
    <border diagonalUp="false" diagonalDown="false">
      <left style="thin"/>
      <right style="thin"/>
      <top/>
      <bottom/>
      <diagonal/>
    </border>
    <border diagonalUp="false" diagonalDown="false">
      <left style="thin"/>
      <right style="thin"/>
      <top/>
      <bottom style="thin"/>
      <diagonal/>
    </border>
    <border diagonalUp="false" diagonalDown="false">
      <left style="thin"/>
      <right style="thin"/>
      <top style="thin"/>
      <bottom style="thin"/>
      <diagonal/>
    </border>
    <border diagonalUp="false" diagonalDown="false">
      <left style="thin">
        <color rgb="FFFFFFFF"/>
      </left>
      <right style="thin">
        <color rgb="FFFFFFFF"/>
      </right>
      <top/>
      <bottom/>
      <diagonal/>
    </border>
    <border diagonalUp="false" diagonalDown="false">
      <left/>
      <right style="thin"/>
      <top style="thin"/>
      <bottom/>
      <diagonal/>
    </border>
    <border diagonalUp="false" diagonalDown="false">
      <left style="thin"/>
      <right/>
      <top/>
      <bottom/>
      <diagonal/>
    </border>
    <border diagonalUp="false" diagonalDown="false">
      <left/>
      <right style="thin"/>
      <top/>
      <bottom style="thin"/>
      <diagonal/>
    </border>
    <border diagonalUp="false" diagonalDown="false">
      <left style="thin">
        <color rgb="FFFFFFFF"/>
      </left>
      <right style="thin">
        <color rgb="FFFFFFFF"/>
      </right>
      <top/>
      <bottom style="thin">
        <color rgb="FFFFFFFF"/>
      </bottom>
      <diagonal/>
    </border>
    <border diagonalUp="false" diagonalDown="false">
      <left style="thin">
        <color rgb="FFFFFFFF"/>
      </left>
      <right/>
      <top/>
      <bottom style="thin">
        <color rgb="FFFFFFFF"/>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49">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64" fontId="4" fillId="0" borderId="2" xfId="0" applyFont="true" applyBorder="true" applyAlignment="true" applyProtection="false">
      <alignment horizontal="center" vertical="bottom" textRotation="0" wrapText="false" indent="0" shrinkToFit="false"/>
      <protection locked="true" hidden="false"/>
    </xf>
    <xf numFmtId="164" fontId="5" fillId="0" borderId="2" xfId="0" applyFont="true" applyBorder="true" applyAlignment="true" applyProtection="false">
      <alignment horizontal="center"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right" vertical="bottom" textRotation="0" wrapText="false" indent="0" shrinkToFit="false"/>
      <protection locked="true" hidden="false"/>
    </xf>
    <xf numFmtId="164" fontId="6" fillId="0" borderId="1" xfId="0" applyFont="true" applyBorder="true" applyAlignment="true" applyProtection="false">
      <alignment horizontal="right" vertical="center" textRotation="0" wrapText="false" indent="0" shrinkToFit="false"/>
      <protection locked="true" hidden="false"/>
    </xf>
    <xf numFmtId="164" fontId="0" fillId="0" borderId="3" xfId="0" applyFont="true" applyBorder="true" applyAlignment="true" applyProtection="false">
      <alignment horizontal="general" vertical="center" textRotation="0" wrapText="false" indent="0" shrinkToFit="false"/>
      <protection locked="true" hidden="false"/>
    </xf>
    <xf numFmtId="164" fontId="0" fillId="0" borderId="2" xfId="0" applyFont="false" applyBorder="true" applyAlignment="true" applyProtection="false">
      <alignment horizontal="general" vertical="center" textRotation="0" wrapText="false" indent="0" shrinkToFit="false"/>
      <protection locked="true" hidden="false"/>
    </xf>
    <xf numFmtId="165" fontId="0" fillId="0" borderId="1" xfId="0" applyFont="false" applyBorder="true" applyAlignment="true" applyProtection="false">
      <alignment horizontal="left" vertical="center" textRotation="0" wrapText="false" indent="0" shrinkToFit="false"/>
      <protection locked="true" hidden="false"/>
    </xf>
    <xf numFmtId="166" fontId="0" fillId="0" borderId="1" xfId="0" applyFont="true" applyBorder="true" applyAlignment="true" applyProtection="false">
      <alignment horizontal="left" vertical="center" textRotation="0" wrapText="fals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false" applyBorder="true" applyAlignment="true" applyProtection="false">
      <alignment horizontal="general" vertical="center" textRotation="0" wrapText="false" indent="0" shrinkToFit="false"/>
      <protection locked="true" hidden="false"/>
    </xf>
    <xf numFmtId="168" fontId="0" fillId="0" borderId="1" xfId="0" applyFont="false" applyBorder="true" applyAlignment="true" applyProtection="false">
      <alignment horizontal="left" vertical="center" textRotation="0" wrapText="false" indent="0" shrinkToFit="false"/>
      <protection locked="true" hidden="false"/>
    </xf>
    <xf numFmtId="164" fontId="0" fillId="0" borderId="4" xfId="0" applyFont="false" applyBorder="true" applyAlignment="false" applyProtection="false">
      <alignment horizontal="general" vertical="bottom" textRotation="0" wrapText="false" indent="0" shrinkToFit="false"/>
      <protection locked="true" hidden="false"/>
    </xf>
    <xf numFmtId="164" fontId="0" fillId="0" borderId="5" xfId="0" applyFont="false" applyBorder="true" applyAlignment="false" applyProtection="false">
      <alignment horizontal="general" vertical="bottom"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6" fillId="2" borderId="6" xfId="0" applyFont="true" applyBorder="true" applyAlignment="true" applyProtection="false">
      <alignment horizontal="left" vertical="center" textRotation="0" wrapText="false" indent="0" shrinkToFit="false"/>
      <protection locked="true" hidden="false"/>
    </xf>
    <xf numFmtId="164" fontId="6" fillId="2" borderId="7" xfId="0" applyFont="true" applyBorder="true" applyAlignment="true" applyProtection="false">
      <alignment horizontal="center" vertical="bottom" textRotation="0" wrapText="false" indent="0" shrinkToFit="false"/>
      <protection locked="true" hidden="false"/>
    </xf>
    <xf numFmtId="164" fontId="6" fillId="2" borderId="8" xfId="0" applyFont="true" applyBorder="true" applyAlignment="true" applyProtection="false">
      <alignment horizontal="center" vertical="bottom" textRotation="0" wrapText="false" indent="0" shrinkToFit="false"/>
      <protection locked="true" hidden="false"/>
    </xf>
    <xf numFmtId="164" fontId="0" fillId="2" borderId="9" xfId="0" applyFont="true" applyBorder="true" applyAlignment="true" applyProtection="false">
      <alignment horizontal="left" vertical="center" textRotation="0" wrapText="true" indent="0" shrinkToFit="false"/>
      <protection locked="true" hidden="false"/>
    </xf>
    <xf numFmtId="164" fontId="0" fillId="0" borderId="10" xfId="0" applyFont="true" applyBorder="tru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6" fillId="0" borderId="11" xfId="0" applyFont="tru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left" vertical="center" textRotation="0" wrapText="false" indent="0" shrinkToFit="false"/>
      <protection locked="true" hidden="false"/>
    </xf>
    <xf numFmtId="164" fontId="0" fillId="0" borderId="13" xfId="0" applyFont="true" applyBorder="true" applyAlignment="true" applyProtection="false">
      <alignment horizontal="left" vertical="center" textRotation="0" wrapText="false" indent="0" shrinkToFit="false"/>
      <protection locked="true" hidden="false"/>
    </xf>
    <xf numFmtId="164" fontId="6" fillId="2" borderId="7" xfId="0" applyFont="true" applyBorder="true" applyAlignment="false" applyProtection="false">
      <alignment horizontal="general" vertical="bottom" textRotation="0" wrapText="false" indent="0" shrinkToFit="false"/>
      <protection locked="true" hidden="false"/>
    </xf>
    <xf numFmtId="168" fontId="6" fillId="2" borderId="7" xfId="0" applyFont="true" applyBorder="true" applyAlignment="true" applyProtection="false">
      <alignment horizontal="center" vertical="center" textRotation="0" wrapText="false" indent="0" shrinkToFit="false"/>
      <protection locked="true" hidden="false"/>
    </xf>
    <xf numFmtId="168" fontId="6" fillId="2" borderId="8" xfId="0" applyFont="true" applyBorder="true" applyAlignment="true" applyProtection="false">
      <alignment horizontal="center" vertical="center" textRotation="0" wrapText="false" indent="0" shrinkToFit="false"/>
      <protection locked="true" hidden="false"/>
    </xf>
    <xf numFmtId="164" fontId="6" fillId="0" borderId="14" xfId="0" applyFont="true" applyBorder="true" applyAlignment="false" applyProtection="false">
      <alignment horizontal="general" vertical="bottom" textRotation="0" wrapText="false" indent="0" shrinkToFit="false"/>
      <protection locked="true" hidden="false"/>
    </xf>
    <xf numFmtId="164" fontId="0" fillId="0" borderId="13" xfId="0" applyFont="true" applyBorder="true" applyAlignment="true" applyProtection="false">
      <alignment horizontal="left" vertical="top" textRotation="0" wrapText="false" indent="0" shrinkToFit="false"/>
      <protection locked="true" hidden="false"/>
    </xf>
    <xf numFmtId="164" fontId="0" fillId="0" borderId="15" xfId="0" applyFont="false" applyBorder="true" applyAlignment="false" applyProtection="false">
      <alignment horizontal="general" vertical="bottom" textRotation="0" wrapText="false" indent="0" shrinkToFit="false"/>
      <protection locked="true" hidden="false"/>
    </xf>
    <xf numFmtId="164" fontId="0" fillId="0" borderId="10" xfId="0" applyFont="true" applyBorder="true" applyAlignment="true" applyProtection="false">
      <alignment horizontal="center" vertical="center" textRotation="0" wrapText="false" indent="0" shrinkToFit="false"/>
      <protection locked="true" hidden="false"/>
    </xf>
    <xf numFmtId="164" fontId="0" fillId="0" borderId="16" xfId="0" applyFont="true" applyBorder="true" applyAlignment="true" applyProtection="false">
      <alignment horizontal="general" vertical="center" textRotation="0" wrapText="false" indent="0" shrinkToFit="false"/>
      <protection locked="true" hidden="false"/>
    </xf>
    <xf numFmtId="164" fontId="0" fillId="0" borderId="17" xfId="0" applyFont="false" applyBorder="true" applyAlignment="true" applyProtection="false">
      <alignment horizontal="center" vertical="center" textRotation="0" wrapText="false" indent="0" shrinkToFit="false"/>
      <protection locked="true" hidden="false"/>
    </xf>
    <xf numFmtId="164" fontId="0" fillId="0" borderId="11" xfId="0" applyFont="true" applyBorder="true" applyAlignment="true" applyProtection="false">
      <alignment horizontal="general" vertical="center" textRotation="0" wrapText="false" indent="0" shrinkToFit="false"/>
      <protection locked="true" hidden="false"/>
    </xf>
    <xf numFmtId="164" fontId="0" fillId="0" borderId="14" xfId="0" applyFont="true" applyBorder="true" applyAlignment="true" applyProtection="false">
      <alignment horizontal="center" vertical="center" textRotation="0" wrapText="false" indent="0" shrinkToFit="false"/>
      <protection locked="true" hidden="false"/>
    </xf>
    <xf numFmtId="164" fontId="0" fillId="0" borderId="6" xfId="0" applyFont="false" applyBorder="true" applyAlignment="true" applyProtection="false">
      <alignment horizontal="center" vertical="center" textRotation="0" wrapText="false" indent="0" shrinkToFit="false"/>
      <protection locked="true" hidden="false"/>
    </xf>
    <xf numFmtId="164" fontId="6" fillId="0" borderId="16" xfId="0" applyFont="true" applyBorder="true" applyAlignment="true" applyProtection="false">
      <alignment horizontal="center" vertical="center" textRotation="0" wrapText="false" indent="0" shrinkToFit="false"/>
      <protection locked="true" hidden="false"/>
    </xf>
    <xf numFmtId="164" fontId="0" fillId="0" borderId="18" xfId="0" applyFont="true" applyBorder="true" applyAlignment="true" applyProtection="false">
      <alignment horizontal="general" vertical="center" textRotation="0" wrapText="false" indent="0" shrinkToFit="false"/>
      <protection locked="true" hidden="false"/>
    </xf>
    <xf numFmtId="164" fontId="0" fillId="0" borderId="9" xfId="0" applyFont="false" applyBorder="true" applyAlignment="true" applyProtection="false">
      <alignment horizontal="center" vertical="center" textRotation="0" wrapText="false" indent="0" shrinkToFit="false"/>
      <protection locked="true" hidden="false"/>
    </xf>
    <xf numFmtId="164" fontId="6" fillId="0" borderId="18" xfId="0" applyFont="true" applyBorder="true" applyAlignment="true" applyProtection="false">
      <alignment horizontal="center" vertical="center" textRotation="0" wrapText="false" indent="0" shrinkToFit="false"/>
      <protection locked="true" hidden="false"/>
    </xf>
    <xf numFmtId="164" fontId="0" fillId="0" borderId="10" xfId="0" applyFont="true" applyBorder="true" applyAlignment="true" applyProtection="false">
      <alignment horizontal="general" vertical="center" textRotation="0" wrapText="false" indent="0" shrinkToFit="false"/>
      <protection locked="true" hidden="false"/>
    </xf>
    <xf numFmtId="164" fontId="0" fillId="0" borderId="12" xfId="0" applyFont="true" applyBorder="true" applyAlignment="true" applyProtection="false">
      <alignment horizontal="right" vertical="center" textRotation="0" wrapText="false" indent="0" shrinkToFit="false"/>
      <protection locked="true" hidden="false"/>
    </xf>
    <xf numFmtId="164" fontId="0" fillId="0" borderId="13" xfId="0" applyFont="true" applyBorder="true" applyAlignment="true" applyProtection="false">
      <alignment horizontal="right" vertical="center" textRotation="0" wrapText="false" indent="0" shrinkToFit="false"/>
      <protection locked="true" hidden="false"/>
    </xf>
    <xf numFmtId="164" fontId="0" fillId="0" borderId="13" xfId="0" applyFont="true" applyBorder="true" applyAlignment="true" applyProtection="false">
      <alignment horizontal="left" vertical="top" textRotation="0" wrapText="true" indent="0" shrinkToFit="false"/>
      <protection locked="true" hidden="false"/>
    </xf>
    <xf numFmtId="164" fontId="0" fillId="0" borderId="17" xfId="0" applyFont="true" applyBorder="true" applyAlignment="true" applyProtection="false">
      <alignment horizontal="left" vertical="top" textRotation="0" wrapText="true" indent="0" shrinkToFit="false"/>
      <protection locked="true" hidden="false"/>
    </xf>
    <xf numFmtId="164" fontId="0" fillId="0" borderId="19" xfId="0" applyFont="false" applyBorder="true" applyAlignment="false" applyProtection="false">
      <alignment horizontal="general" vertical="bottom" textRotation="0" wrapText="false" indent="0" shrinkToFit="false"/>
      <protection locked="true" hidden="false"/>
    </xf>
    <xf numFmtId="164" fontId="0" fillId="0" borderId="20" xfId="0" applyFont="false" applyBorder="tru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Q113"/>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H68" activeCellId="0" sqref="H68"/>
    </sheetView>
  </sheetViews>
  <sheetFormatPr defaultColWidth="8.8046875" defaultRowHeight="15" zeroHeight="false" outlineLevelRow="0" outlineLevelCol="0"/>
  <cols>
    <col collapsed="false" customWidth="true" hidden="false" outlineLevel="0" max="1" min="1" style="0" width="5.7"/>
    <col collapsed="false" customWidth="true" hidden="false" outlineLevel="0" max="2" min="2" style="0" width="9"/>
    <col collapsed="false" customWidth="true" hidden="false" outlineLevel="0" max="3" min="3" style="0" width="6.42"/>
    <col collapsed="false" customWidth="true" hidden="false" outlineLevel="0" max="4" min="4" style="0" width="14.28"/>
    <col collapsed="false" customWidth="true" hidden="false" outlineLevel="0" max="5" min="5" style="0" width="9"/>
    <col collapsed="false" customWidth="true" hidden="false" outlineLevel="0" max="6" min="6" style="0" width="13.57"/>
    <col collapsed="false" customWidth="true" hidden="false" outlineLevel="0" max="7" min="7" style="0" width="15.29"/>
    <col collapsed="false" customWidth="true" hidden="false" outlineLevel="0" max="10" min="10" style="0" width="5.7"/>
    <col collapsed="false" customWidth="true" hidden="false" outlineLevel="0" max="17" min="17" style="0" width="9.71"/>
  </cols>
  <sheetData>
    <row r="1" customFormat="false" ht="31.5" hidden="false" customHeight="false" outlineLevel="0" collapsed="false">
      <c r="A1" s="1"/>
      <c r="B1" s="2" t="s">
        <v>0</v>
      </c>
      <c r="C1" s="2"/>
      <c r="D1" s="2"/>
      <c r="E1" s="2"/>
      <c r="F1" s="2"/>
      <c r="G1" s="2"/>
      <c r="H1" s="2"/>
      <c r="I1" s="2"/>
      <c r="J1" s="1"/>
    </row>
    <row r="2" customFormat="false" ht="23.25" hidden="false" customHeight="false" outlineLevel="0" collapsed="false">
      <c r="A2" s="1"/>
      <c r="B2" s="3" t="s">
        <v>1</v>
      </c>
      <c r="C2" s="3"/>
      <c r="D2" s="3"/>
      <c r="E2" s="3"/>
      <c r="F2" s="3"/>
      <c r="G2" s="3"/>
      <c r="H2" s="3"/>
      <c r="I2" s="3"/>
      <c r="J2" s="1"/>
    </row>
    <row r="3" customFormat="false" ht="13.8" hidden="false" customHeight="false" outlineLevel="0" collapsed="false">
      <c r="A3" s="1"/>
      <c r="B3" s="4"/>
      <c r="C3" s="1"/>
      <c r="D3" s="1"/>
      <c r="E3" s="1"/>
      <c r="F3" s="1"/>
      <c r="G3" s="1"/>
      <c r="H3" s="1"/>
      <c r="I3" s="1"/>
      <c r="J3" s="1"/>
      <c r="M3" s="5" t="s">
        <v>2</v>
      </c>
      <c r="N3" s="0" t="s">
        <v>3</v>
      </c>
    </row>
    <row r="4" customFormat="false" ht="13.8" hidden="false" customHeight="false" outlineLevel="0" collapsed="false">
      <c r="A4" s="1"/>
      <c r="B4" s="4"/>
      <c r="C4" s="6" t="s">
        <v>4</v>
      </c>
      <c r="D4" s="0" t="s">
        <v>5</v>
      </c>
      <c r="E4" s="1"/>
      <c r="F4" s="1"/>
      <c r="G4" s="6" t="s">
        <v>6</v>
      </c>
      <c r="H4" s="7" t="s">
        <v>7</v>
      </c>
      <c r="I4" s="8"/>
      <c r="J4" s="1"/>
    </row>
    <row r="5" customFormat="false" ht="13.8" hidden="false" customHeight="false" outlineLevel="0" collapsed="false">
      <c r="A5" s="1"/>
      <c r="B5" s="4"/>
      <c r="C5" s="6" t="s">
        <v>8</v>
      </c>
      <c r="D5" s="1" t="s">
        <v>9</v>
      </c>
      <c r="E5" s="1"/>
      <c r="F5" s="1"/>
      <c r="G5" s="6" t="s">
        <v>10</v>
      </c>
      <c r="H5" s="9" t="n">
        <f aca="false">MIN(SUM(H15,H25,H47,H58,H68,H76),70)</f>
        <v>70</v>
      </c>
      <c r="I5" s="10" t="s">
        <v>11</v>
      </c>
      <c r="J5" s="1"/>
      <c r="Q5" s="11"/>
    </row>
    <row r="6" customFormat="false" ht="13.8" hidden="false" customHeight="false" outlineLevel="0" collapsed="false">
      <c r="A6" s="1"/>
      <c r="B6" s="4"/>
      <c r="C6" s="6" t="s">
        <v>12</v>
      </c>
      <c r="D6" s="0" t="s">
        <v>13</v>
      </c>
      <c r="E6" s="12"/>
      <c r="F6" s="12"/>
      <c r="G6" s="6" t="s">
        <v>14</v>
      </c>
      <c r="H6" s="13" t="n">
        <f aca="false">ROUND((H5/70)*25,2)</f>
        <v>25</v>
      </c>
      <c r="I6" s="13"/>
      <c r="J6" s="1"/>
    </row>
    <row r="7" customFormat="false" ht="13.8" hidden="false" customHeight="false" outlineLevel="0" collapsed="false">
      <c r="A7" s="1"/>
      <c r="B7" s="14"/>
      <c r="C7" s="15"/>
      <c r="D7" s="15"/>
      <c r="E7" s="15"/>
      <c r="F7" s="15"/>
      <c r="G7" s="15"/>
      <c r="H7" s="15"/>
      <c r="I7" s="15"/>
      <c r="J7" s="1"/>
    </row>
    <row r="8" customFormat="false" ht="13.8" hidden="false" customHeight="false" outlineLevel="0" collapsed="false">
      <c r="A8" s="16"/>
      <c r="B8" s="17" t="s">
        <v>15</v>
      </c>
      <c r="C8" s="17"/>
      <c r="D8" s="17"/>
      <c r="E8" s="17"/>
      <c r="F8" s="17"/>
      <c r="G8" s="17"/>
      <c r="H8" s="18" t="s">
        <v>16</v>
      </c>
      <c r="I8" s="19" t="s">
        <v>17</v>
      </c>
      <c r="J8" s="4"/>
    </row>
    <row r="9" customFormat="false" ht="60" hidden="false" customHeight="true" outlineLevel="0" collapsed="false">
      <c r="A9" s="16"/>
      <c r="B9" s="20" t="s">
        <v>18</v>
      </c>
      <c r="C9" s="20"/>
      <c r="D9" s="20"/>
      <c r="E9" s="20"/>
      <c r="F9" s="20"/>
      <c r="G9" s="20"/>
      <c r="H9" s="18"/>
      <c r="I9" s="19"/>
      <c r="J9" s="4"/>
    </row>
    <row r="10" customFormat="false" ht="13.8" hidden="false" customHeight="false" outlineLevel="0" collapsed="false">
      <c r="A10" s="16"/>
      <c r="B10" s="21" t="s">
        <v>19</v>
      </c>
      <c r="C10" s="21"/>
      <c r="D10" s="21"/>
      <c r="E10" s="21"/>
      <c r="F10" s="21"/>
      <c r="G10" s="21"/>
      <c r="H10" s="22" t="n">
        <v>2</v>
      </c>
      <c r="I10" s="23" t="n">
        <v>2</v>
      </c>
      <c r="J10" s="4"/>
    </row>
    <row r="11" customFormat="false" ht="13.8" hidden="false" customHeight="false" outlineLevel="0" collapsed="false">
      <c r="A11" s="16"/>
      <c r="B11" s="24" t="s">
        <v>20</v>
      </c>
      <c r="C11" s="24"/>
      <c r="D11" s="24"/>
      <c r="E11" s="24"/>
      <c r="F11" s="24"/>
      <c r="G11" s="24"/>
      <c r="H11" s="22" t="n">
        <v>2</v>
      </c>
      <c r="I11" s="23" t="n">
        <v>2</v>
      </c>
      <c r="J11" s="4"/>
    </row>
    <row r="12" customFormat="false" ht="13.8" hidden="false" customHeight="false" outlineLevel="0" collapsed="false">
      <c r="A12" s="16"/>
      <c r="B12" s="24" t="s">
        <v>21</v>
      </c>
      <c r="C12" s="24"/>
      <c r="D12" s="24"/>
      <c r="E12" s="24"/>
      <c r="F12" s="24"/>
      <c r="G12" s="24"/>
      <c r="H12" s="22" t="n">
        <v>2</v>
      </c>
      <c r="I12" s="23" t="n">
        <v>2</v>
      </c>
      <c r="J12" s="4"/>
    </row>
    <row r="13" customFormat="false" ht="13.8" hidden="false" customHeight="false" outlineLevel="0" collapsed="false">
      <c r="A13" s="16"/>
      <c r="B13" s="24" t="s">
        <v>22</v>
      </c>
      <c r="C13" s="24"/>
      <c r="D13" s="24"/>
      <c r="E13" s="24"/>
      <c r="F13" s="24"/>
      <c r="G13" s="24"/>
      <c r="H13" s="22" t="n">
        <v>2</v>
      </c>
      <c r="I13" s="23" t="n">
        <v>2</v>
      </c>
      <c r="J13" s="4"/>
    </row>
    <row r="14" customFormat="false" ht="13.8" hidden="false" customHeight="false" outlineLevel="0" collapsed="false">
      <c r="A14" s="16"/>
      <c r="B14" s="25" t="s">
        <v>23</v>
      </c>
      <c r="C14" s="25"/>
      <c r="D14" s="25"/>
      <c r="E14" s="25"/>
      <c r="F14" s="25"/>
      <c r="G14" s="25"/>
      <c r="H14" s="22" t="n">
        <v>2</v>
      </c>
      <c r="I14" s="23" t="n">
        <v>2</v>
      </c>
      <c r="J14" s="4"/>
    </row>
    <row r="15" customFormat="false" ht="13.8" hidden="false" customHeight="false" outlineLevel="0" collapsed="false">
      <c r="A15" s="16"/>
      <c r="B15" s="26" t="s">
        <v>24</v>
      </c>
      <c r="C15" s="26"/>
      <c r="D15" s="26"/>
      <c r="E15" s="26"/>
      <c r="F15" s="26"/>
      <c r="G15" s="26"/>
      <c r="H15" s="27" t="n">
        <f aca="false">SUM(H10:H14)</f>
        <v>10</v>
      </c>
      <c r="I15" s="28" t="n">
        <f aca="false">SUM(I10:I14)</f>
        <v>10</v>
      </c>
      <c r="J15" s="4"/>
    </row>
    <row r="16" customFormat="false" ht="13.8" hidden="false" customHeight="false" outlineLevel="0" collapsed="false">
      <c r="A16" s="16"/>
      <c r="B16" s="29" t="s">
        <v>25</v>
      </c>
      <c r="C16" s="29"/>
      <c r="D16" s="29"/>
      <c r="E16" s="29"/>
      <c r="F16" s="29"/>
      <c r="G16" s="29"/>
      <c r="H16" s="29"/>
      <c r="I16" s="29"/>
      <c r="J16" s="4"/>
    </row>
    <row r="17" customFormat="false" ht="75.75" hidden="false" customHeight="true" outlineLevel="0" collapsed="false">
      <c r="A17" s="16"/>
      <c r="B17" s="30"/>
      <c r="C17" s="30"/>
      <c r="D17" s="30"/>
      <c r="E17" s="30"/>
      <c r="F17" s="30"/>
      <c r="G17" s="30"/>
      <c r="H17" s="30"/>
      <c r="I17" s="30"/>
      <c r="J17" s="4"/>
    </row>
    <row r="18" customFormat="false" ht="13.8" hidden="false" customHeight="false" outlineLevel="0" collapsed="false">
      <c r="A18" s="1"/>
      <c r="B18" s="31"/>
      <c r="C18" s="31"/>
      <c r="D18" s="31"/>
      <c r="E18" s="31"/>
      <c r="F18" s="31"/>
      <c r="G18" s="31"/>
      <c r="H18" s="31"/>
      <c r="I18" s="31"/>
      <c r="J18" s="1"/>
    </row>
    <row r="19" customFormat="false" ht="13.8" hidden="false" customHeight="false" outlineLevel="0" collapsed="false">
      <c r="A19" s="16"/>
      <c r="B19" s="17" t="s">
        <v>26</v>
      </c>
      <c r="C19" s="17"/>
      <c r="D19" s="17"/>
      <c r="E19" s="17"/>
      <c r="F19" s="17"/>
      <c r="G19" s="17"/>
      <c r="H19" s="18" t="s">
        <v>16</v>
      </c>
      <c r="I19" s="19" t="s">
        <v>17</v>
      </c>
      <c r="J19" s="4"/>
    </row>
    <row r="20" customFormat="false" ht="90" hidden="false" customHeight="true" outlineLevel="0" collapsed="false">
      <c r="A20" s="16"/>
      <c r="B20" s="20" t="s">
        <v>27</v>
      </c>
      <c r="C20" s="20"/>
      <c r="D20" s="20"/>
      <c r="E20" s="20"/>
      <c r="F20" s="20"/>
      <c r="G20" s="20"/>
      <c r="H20" s="18"/>
      <c r="I20" s="19"/>
      <c r="J20" s="4"/>
    </row>
    <row r="21" customFormat="false" ht="13.8" hidden="false" customHeight="false" outlineLevel="0" collapsed="false">
      <c r="A21" s="16"/>
      <c r="B21" s="32" t="s">
        <v>28</v>
      </c>
      <c r="C21" s="33" t="s">
        <v>29</v>
      </c>
      <c r="D21" s="33"/>
      <c r="E21" s="33"/>
      <c r="F21" s="33"/>
      <c r="G21" s="33"/>
      <c r="H21" s="34" t="n">
        <v>3</v>
      </c>
      <c r="I21" s="23" t="n">
        <v>3</v>
      </c>
      <c r="J21" s="4"/>
    </row>
    <row r="22" customFormat="false" ht="13.8" hidden="false" customHeight="false" outlineLevel="0" collapsed="false">
      <c r="A22" s="16"/>
      <c r="B22" s="32"/>
      <c r="C22" s="35" t="s">
        <v>30</v>
      </c>
      <c r="D22" s="35"/>
      <c r="E22" s="35"/>
      <c r="F22" s="35"/>
      <c r="G22" s="35"/>
      <c r="H22" s="34" t="n">
        <v>3</v>
      </c>
      <c r="I22" s="23" t="n">
        <v>3</v>
      </c>
      <c r="J22" s="4"/>
    </row>
    <row r="23" customFormat="false" ht="13.8" hidden="false" customHeight="false" outlineLevel="0" collapsed="false">
      <c r="A23" s="16"/>
      <c r="B23" s="36" t="s">
        <v>31</v>
      </c>
      <c r="C23" s="33" t="s">
        <v>32</v>
      </c>
      <c r="D23" s="33"/>
      <c r="E23" s="33"/>
      <c r="F23" s="33"/>
      <c r="G23" s="33"/>
      <c r="H23" s="37" t="n">
        <v>3</v>
      </c>
      <c r="I23" s="38" t="n">
        <v>3</v>
      </c>
      <c r="J23" s="4"/>
    </row>
    <row r="24" customFormat="false" ht="13.8" hidden="false" customHeight="false" outlineLevel="0" collapsed="false">
      <c r="A24" s="16"/>
      <c r="B24" s="36"/>
      <c r="C24" s="39" t="s">
        <v>33</v>
      </c>
      <c r="D24" s="39"/>
      <c r="E24" s="39"/>
      <c r="F24" s="39"/>
      <c r="G24" s="39"/>
      <c r="H24" s="40" t="n">
        <v>3</v>
      </c>
      <c r="I24" s="41" t="n">
        <v>3</v>
      </c>
      <c r="J24" s="4"/>
    </row>
    <row r="25" customFormat="false" ht="13.8" hidden="false" customHeight="false" outlineLevel="0" collapsed="false">
      <c r="A25" s="16"/>
      <c r="B25" s="26" t="s">
        <v>24</v>
      </c>
      <c r="C25" s="26"/>
      <c r="D25" s="26"/>
      <c r="E25" s="26"/>
      <c r="F25" s="26"/>
      <c r="G25" s="26"/>
      <c r="H25" s="27" t="n">
        <f aca="false">SUM(H21:H24)</f>
        <v>12</v>
      </c>
      <c r="I25" s="28" t="n">
        <f aca="false">SUM(I21:I24)</f>
        <v>12</v>
      </c>
      <c r="J25" s="4"/>
    </row>
    <row r="26" customFormat="false" ht="13.8" hidden="false" customHeight="false" outlineLevel="0" collapsed="false">
      <c r="A26" s="16"/>
      <c r="B26" s="29" t="s">
        <v>25</v>
      </c>
      <c r="C26" s="29"/>
      <c r="D26" s="29"/>
      <c r="E26" s="29"/>
      <c r="F26" s="29"/>
      <c r="G26" s="29"/>
      <c r="H26" s="29"/>
      <c r="I26" s="29"/>
      <c r="J26" s="4"/>
    </row>
    <row r="27" customFormat="false" ht="75" hidden="false" customHeight="true" outlineLevel="0" collapsed="false">
      <c r="A27" s="16"/>
      <c r="B27" s="30"/>
      <c r="C27" s="30"/>
      <c r="D27" s="30"/>
      <c r="E27" s="30"/>
      <c r="F27" s="30"/>
      <c r="G27" s="30"/>
      <c r="H27" s="30"/>
      <c r="I27" s="30"/>
      <c r="J27" s="4"/>
    </row>
    <row r="28" customFormat="false" ht="13.8" hidden="false" customHeight="false" outlineLevel="0" collapsed="false">
      <c r="A28" s="1"/>
      <c r="B28" s="31"/>
      <c r="C28" s="31"/>
      <c r="D28" s="31"/>
      <c r="E28" s="31"/>
      <c r="F28" s="31"/>
      <c r="G28" s="31"/>
      <c r="H28" s="31"/>
      <c r="I28" s="31"/>
      <c r="J28" s="1"/>
    </row>
    <row r="29" customFormat="false" ht="13.8" hidden="false" customHeight="false" outlineLevel="0" collapsed="false">
      <c r="A29" s="16"/>
      <c r="B29" s="17" t="s">
        <v>34</v>
      </c>
      <c r="C29" s="17"/>
      <c r="D29" s="17"/>
      <c r="E29" s="17"/>
      <c r="F29" s="17"/>
      <c r="G29" s="17"/>
      <c r="H29" s="18" t="s">
        <v>16</v>
      </c>
      <c r="I29" s="19" t="s">
        <v>17</v>
      </c>
      <c r="J29" s="4"/>
    </row>
    <row r="30" customFormat="false" ht="45" hidden="false" customHeight="true" outlineLevel="0" collapsed="false">
      <c r="A30" s="16"/>
      <c r="B30" s="20" t="s">
        <v>35</v>
      </c>
      <c r="C30" s="20"/>
      <c r="D30" s="20"/>
      <c r="E30" s="20"/>
      <c r="F30" s="20"/>
      <c r="G30" s="20"/>
      <c r="H30" s="18"/>
      <c r="I30" s="19"/>
      <c r="J30" s="4"/>
    </row>
    <row r="31" customFormat="false" ht="13.8" hidden="false" customHeight="false" outlineLevel="0" collapsed="false">
      <c r="A31" s="16"/>
      <c r="B31" s="32" t="s">
        <v>36</v>
      </c>
      <c r="C31" s="33" t="s">
        <v>37</v>
      </c>
      <c r="D31" s="33"/>
      <c r="E31" s="33"/>
      <c r="F31" s="33"/>
      <c r="G31" s="33"/>
      <c r="H31" s="34" t="n">
        <v>2</v>
      </c>
      <c r="I31" s="23" t="n">
        <v>2</v>
      </c>
      <c r="J31" s="4"/>
    </row>
    <row r="32" customFormat="false" ht="13.8" hidden="false" customHeight="false" outlineLevel="0" collapsed="false">
      <c r="A32" s="16"/>
      <c r="B32" s="32"/>
      <c r="C32" s="42" t="s">
        <v>38</v>
      </c>
      <c r="D32" s="42"/>
      <c r="E32" s="42"/>
      <c r="F32" s="42"/>
      <c r="G32" s="42"/>
      <c r="H32" s="37" t="n">
        <v>3</v>
      </c>
      <c r="I32" s="38" t="n">
        <v>3</v>
      </c>
      <c r="J32" s="4"/>
    </row>
    <row r="33" customFormat="false" ht="13.8" hidden="false" customHeight="false" outlineLevel="0" collapsed="false">
      <c r="A33" s="16"/>
      <c r="B33" s="32"/>
      <c r="C33" s="43" t="s">
        <v>39</v>
      </c>
      <c r="D33" s="43"/>
      <c r="E33" s="43"/>
      <c r="F33" s="43"/>
      <c r="G33" s="43"/>
      <c r="H33" s="34" t="n">
        <v>1</v>
      </c>
      <c r="I33" s="23" t="n">
        <v>1</v>
      </c>
      <c r="J33" s="4"/>
    </row>
    <row r="34" customFormat="false" ht="13.8" hidden="false" customHeight="false" outlineLevel="0" collapsed="false">
      <c r="A34" s="16"/>
      <c r="B34" s="32"/>
      <c r="C34" s="44" t="s">
        <v>40</v>
      </c>
      <c r="D34" s="44"/>
      <c r="E34" s="44"/>
      <c r="F34" s="44"/>
      <c r="G34" s="44"/>
      <c r="H34" s="40" t="n">
        <v>0.5</v>
      </c>
      <c r="I34" s="41" t="n">
        <v>1</v>
      </c>
      <c r="J34" s="4"/>
    </row>
    <row r="35" customFormat="false" ht="13.8" hidden="false" customHeight="false" outlineLevel="0" collapsed="false">
      <c r="A35" s="16"/>
      <c r="B35" s="32"/>
      <c r="C35" s="42" t="s">
        <v>41</v>
      </c>
      <c r="D35" s="42"/>
      <c r="E35" s="42"/>
      <c r="F35" s="42"/>
      <c r="G35" s="42"/>
      <c r="H35" s="37" t="n">
        <v>3</v>
      </c>
      <c r="I35" s="38" t="n">
        <v>3</v>
      </c>
      <c r="J35" s="4"/>
    </row>
    <row r="36" customFormat="false" ht="13.8" hidden="false" customHeight="false" outlineLevel="0" collapsed="false">
      <c r="A36" s="16"/>
      <c r="B36" s="32"/>
      <c r="C36" s="43" t="s">
        <v>39</v>
      </c>
      <c r="D36" s="43"/>
      <c r="E36" s="43"/>
      <c r="F36" s="43"/>
      <c r="G36" s="43"/>
      <c r="H36" s="34" t="n">
        <v>1</v>
      </c>
      <c r="I36" s="23" t="n">
        <v>1</v>
      </c>
      <c r="J36" s="4"/>
    </row>
    <row r="37" customFormat="false" ht="13.8" hidden="false" customHeight="false" outlineLevel="0" collapsed="false">
      <c r="A37" s="16"/>
      <c r="B37" s="32"/>
      <c r="C37" s="44" t="s">
        <v>40</v>
      </c>
      <c r="D37" s="44"/>
      <c r="E37" s="44"/>
      <c r="F37" s="44"/>
      <c r="G37" s="44"/>
      <c r="H37" s="40" t="n">
        <v>0.5</v>
      </c>
      <c r="I37" s="41" t="n">
        <v>1</v>
      </c>
      <c r="J37" s="4"/>
    </row>
    <row r="38" customFormat="false" ht="13.8" hidden="false" customHeight="false" outlineLevel="0" collapsed="false">
      <c r="A38" s="16"/>
      <c r="B38" s="32"/>
      <c r="C38" s="35" t="s">
        <v>42</v>
      </c>
      <c r="D38" s="35"/>
      <c r="E38" s="35"/>
      <c r="F38" s="35"/>
      <c r="G38" s="35"/>
      <c r="H38" s="34" t="n">
        <v>2</v>
      </c>
      <c r="I38" s="23" t="n">
        <v>2</v>
      </c>
      <c r="J38" s="4"/>
    </row>
    <row r="39" customFormat="false" ht="13.8" hidden="false" customHeight="false" outlineLevel="0" collapsed="false">
      <c r="A39" s="16"/>
      <c r="B39" s="36" t="s">
        <v>43</v>
      </c>
      <c r="C39" s="33" t="s">
        <v>44</v>
      </c>
      <c r="D39" s="33"/>
      <c r="E39" s="33"/>
      <c r="F39" s="33"/>
      <c r="G39" s="33"/>
      <c r="H39" s="37" t="n">
        <v>2</v>
      </c>
      <c r="I39" s="38" t="n">
        <v>2</v>
      </c>
      <c r="J39" s="4"/>
    </row>
    <row r="40" customFormat="false" ht="13.8" hidden="false" customHeight="false" outlineLevel="0" collapsed="false">
      <c r="A40" s="16"/>
      <c r="B40" s="36"/>
      <c r="C40" s="42" t="s">
        <v>45</v>
      </c>
      <c r="D40" s="42"/>
      <c r="E40" s="42"/>
      <c r="F40" s="42"/>
      <c r="G40" s="42"/>
      <c r="H40" s="37" t="n">
        <v>3</v>
      </c>
      <c r="I40" s="38" t="n">
        <v>3</v>
      </c>
      <c r="J40" s="4"/>
    </row>
    <row r="41" customFormat="false" ht="13.8" hidden="false" customHeight="false" outlineLevel="0" collapsed="false">
      <c r="A41" s="16"/>
      <c r="B41" s="36"/>
      <c r="C41" s="43" t="s">
        <v>46</v>
      </c>
      <c r="D41" s="43"/>
      <c r="E41" s="43"/>
      <c r="F41" s="43"/>
      <c r="G41" s="43"/>
      <c r="H41" s="34" t="n">
        <v>1</v>
      </c>
      <c r="I41" s="23" t="n">
        <v>1</v>
      </c>
      <c r="J41" s="4"/>
    </row>
    <row r="42" customFormat="false" ht="13.8" hidden="false" customHeight="false" outlineLevel="0" collapsed="false">
      <c r="A42" s="16"/>
      <c r="B42" s="36"/>
      <c r="C42" s="44" t="s">
        <v>40</v>
      </c>
      <c r="D42" s="44"/>
      <c r="E42" s="44"/>
      <c r="F42" s="44"/>
      <c r="G42" s="44"/>
      <c r="H42" s="40" t="n">
        <v>0.5</v>
      </c>
      <c r="I42" s="41" t="n">
        <v>1</v>
      </c>
      <c r="J42" s="4"/>
    </row>
    <row r="43" customFormat="false" ht="13.8" hidden="false" customHeight="false" outlineLevel="0" collapsed="false">
      <c r="A43" s="16"/>
      <c r="B43" s="36"/>
      <c r="C43" s="42" t="s">
        <v>47</v>
      </c>
      <c r="D43" s="42"/>
      <c r="E43" s="42"/>
      <c r="F43" s="42"/>
      <c r="G43" s="42"/>
      <c r="H43" s="37" t="n">
        <v>3</v>
      </c>
      <c r="I43" s="38" t="n">
        <v>3</v>
      </c>
      <c r="J43" s="4"/>
    </row>
    <row r="44" customFormat="false" ht="13.8" hidden="false" customHeight="false" outlineLevel="0" collapsed="false">
      <c r="A44" s="16"/>
      <c r="B44" s="36"/>
      <c r="C44" s="43" t="s">
        <v>46</v>
      </c>
      <c r="D44" s="43"/>
      <c r="E44" s="43"/>
      <c r="F44" s="43"/>
      <c r="G44" s="43"/>
      <c r="H44" s="34" t="n">
        <v>1</v>
      </c>
      <c r="I44" s="23" t="n">
        <v>1</v>
      </c>
      <c r="J44" s="4"/>
    </row>
    <row r="45" customFormat="false" ht="13.8" hidden="false" customHeight="false" outlineLevel="0" collapsed="false">
      <c r="A45" s="16"/>
      <c r="B45" s="36"/>
      <c r="C45" s="44" t="s">
        <v>40</v>
      </c>
      <c r="D45" s="44"/>
      <c r="E45" s="44"/>
      <c r="F45" s="44"/>
      <c r="G45" s="44"/>
      <c r="H45" s="40" t="n">
        <v>0.5</v>
      </c>
      <c r="I45" s="41" t="n">
        <v>1</v>
      </c>
      <c r="J45" s="4"/>
    </row>
    <row r="46" customFormat="false" ht="13.8" hidden="false" customHeight="false" outlineLevel="0" collapsed="false">
      <c r="A46" s="16"/>
      <c r="B46" s="36"/>
      <c r="C46" s="35" t="s">
        <v>48</v>
      </c>
      <c r="D46" s="35"/>
      <c r="E46" s="35"/>
      <c r="F46" s="35"/>
      <c r="G46" s="35"/>
      <c r="H46" s="40" t="n">
        <v>2</v>
      </c>
      <c r="I46" s="41" t="n">
        <v>2</v>
      </c>
      <c r="J46" s="4"/>
    </row>
    <row r="47" customFormat="false" ht="13.8" hidden="false" customHeight="false" outlineLevel="0" collapsed="false">
      <c r="A47" s="16"/>
      <c r="B47" s="26" t="s">
        <v>24</v>
      </c>
      <c r="C47" s="26"/>
      <c r="D47" s="26"/>
      <c r="E47" s="26"/>
      <c r="F47" s="26"/>
      <c r="G47" s="26"/>
      <c r="H47" s="27" t="n">
        <f aca="false">SUM(H31:H46)</f>
        <v>26</v>
      </c>
      <c r="I47" s="28" t="n">
        <f aca="false">SUM(I31:I46)</f>
        <v>28</v>
      </c>
      <c r="J47" s="4"/>
    </row>
    <row r="48" customFormat="false" ht="13.8" hidden="false" customHeight="false" outlineLevel="0" collapsed="false">
      <c r="A48" s="16"/>
      <c r="B48" s="29" t="s">
        <v>25</v>
      </c>
      <c r="C48" s="29"/>
      <c r="D48" s="29"/>
      <c r="E48" s="29"/>
      <c r="F48" s="29"/>
      <c r="G48" s="29"/>
      <c r="H48" s="29"/>
      <c r="I48" s="29"/>
      <c r="J48" s="4"/>
    </row>
    <row r="49" customFormat="false" ht="135.8" hidden="false" customHeight="true" outlineLevel="0" collapsed="false">
      <c r="A49" s="16"/>
      <c r="B49" s="45" t="s">
        <v>49</v>
      </c>
      <c r="C49" s="45"/>
      <c r="D49" s="45"/>
      <c r="E49" s="45"/>
      <c r="F49" s="45"/>
      <c r="G49" s="45"/>
      <c r="H49" s="45"/>
      <c r="I49" s="45"/>
      <c r="J49" s="4"/>
    </row>
    <row r="50" customFormat="false" ht="13.8" hidden="false" customHeight="false" outlineLevel="0" collapsed="false">
      <c r="A50" s="1"/>
      <c r="B50" s="31"/>
      <c r="C50" s="31"/>
      <c r="D50" s="31"/>
      <c r="E50" s="31"/>
      <c r="F50" s="31"/>
      <c r="G50" s="31"/>
      <c r="H50" s="31"/>
      <c r="I50" s="31"/>
      <c r="J50" s="1"/>
    </row>
    <row r="51" customFormat="false" ht="13.8" hidden="false" customHeight="false" outlineLevel="0" collapsed="false">
      <c r="A51" s="16"/>
      <c r="B51" s="17" t="s">
        <v>50</v>
      </c>
      <c r="C51" s="17"/>
      <c r="D51" s="17"/>
      <c r="E51" s="17"/>
      <c r="F51" s="17"/>
      <c r="G51" s="17"/>
      <c r="H51" s="18" t="s">
        <v>16</v>
      </c>
      <c r="I51" s="19" t="s">
        <v>17</v>
      </c>
      <c r="J51" s="4"/>
    </row>
    <row r="52" customFormat="false" ht="75" hidden="false" customHeight="true" outlineLevel="0" collapsed="false">
      <c r="A52" s="16"/>
      <c r="B52" s="20" t="s">
        <v>51</v>
      </c>
      <c r="C52" s="20"/>
      <c r="D52" s="20"/>
      <c r="E52" s="20"/>
      <c r="F52" s="20"/>
      <c r="G52" s="20"/>
      <c r="H52" s="18"/>
      <c r="I52" s="19"/>
      <c r="J52" s="4"/>
    </row>
    <row r="53" customFormat="false" ht="30" hidden="false" customHeight="true" outlineLevel="0" collapsed="false">
      <c r="A53" s="16"/>
      <c r="B53" s="46" t="s">
        <v>52</v>
      </c>
      <c r="C53" s="46"/>
      <c r="D53" s="46"/>
      <c r="E53" s="46"/>
      <c r="F53" s="46"/>
      <c r="G53" s="46"/>
      <c r="H53" s="34" t="n">
        <v>2</v>
      </c>
      <c r="I53" s="23" t="n">
        <v>2</v>
      </c>
      <c r="J53" s="4"/>
    </row>
    <row r="54" customFormat="false" ht="15" hidden="false" customHeight="true" outlineLevel="0" collapsed="false">
      <c r="A54" s="16"/>
      <c r="B54" s="46" t="s">
        <v>53</v>
      </c>
      <c r="C54" s="46"/>
      <c r="D54" s="46"/>
      <c r="E54" s="46"/>
      <c r="F54" s="46"/>
      <c r="G54" s="46"/>
      <c r="H54" s="34" t="n">
        <v>1</v>
      </c>
      <c r="I54" s="23" t="n">
        <v>1</v>
      </c>
      <c r="J54" s="4"/>
    </row>
    <row r="55" customFormat="false" ht="30" hidden="false" customHeight="true" outlineLevel="0" collapsed="false">
      <c r="A55" s="16"/>
      <c r="B55" s="46" t="s">
        <v>54</v>
      </c>
      <c r="C55" s="46"/>
      <c r="D55" s="46"/>
      <c r="E55" s="46"/>
      <c r="F55" s="46"/>
      <c r="G55" s="46"/>
      <c r="H55" s="34" t="n">
        <v>2</v>
      </c>
      <c r="I55" s="23" t="n">
        <v>2</v>
      </c>
      <c r="J55" s="4"/>
    </row>
    <row r="56" customFormat="false" ht="45.75" hidden="false" customHeight="true" outlineLevel="0" collapsed="false">
      <c r="A56" s="16"/>
      <c r="B56" s="46" t="s">
        <v>55</v>
      </c>
      <c r="C56" s="46"/>
      <c r="D56" s="46"/>
      <c r="E56" s="46"/>
      <c r="F56" s="46"/>
      <c r="G56" s="46"/>
      <c r="H56" s="34" t="n">
        <v>3</v>
      </c>
      <c r="I56" s="23" t="n">
        <v>3</v>
      </c>
      <c r="J56" s="4"/>
    </row>
    <row r="57" customFormat="false" ht="30" hidden="false" customHeight="true" outlineLevel="0" collapsed="false">
      <c r="A57" s="16"/>
      <c r="B57" s="46" t="s">
        <v>56</v>
      </c>
      <c r="C57" s="46"/>
      <c r="D57" s="46"/>
      <c r="E57" s="46"/>
      <c r="F57" s="46"/>
      <c r="G57" s="46"/>
      <c r="H57" s="34" t="n">
        <v>2</v>
      </c>
      <c r="I57" s="23" t="n">
        <v>2</v>
      </c>
      <c r="J57" s="4"/>
    </row>
    <row r="58" customFormat="false" ht="13.8" hidden="false" customHeight="false" outlineLevel="0" collapsed="false">
      <c r="A58" s="16"/>
      <c r="B58" s="26" t="s">
        <v>24</v>
      </c>
      <c r="C58" s="26"/>
      <c r="D58" s="26"/>
      <c r="E58" s="26"/>
      <c r="F58" s="26"/>
      <c r="G58" s="26"/>
      <c r="H58" s="27" t="n">
        <f aca="false">SUM(H53:H57)</f>
        <v>10</v>
      </c>
      <c r="I58" s="28" t="n">
        <f aca="false">SUM(I53:I57)</f>
        <v>10</v>
      </c>
      <c r="J58" s="4"/>
    </row>
    <row r="59" customFormat="false" ht="13.8" hidden="false" customHeight="false" outlineLevel="0" collapsed="false">
      <c r="A59" s="16"/>
      <c r="B59" s="29" t="s">
        <v>25</v>
      </c>
      <c r="C59" s="29"/>
      <c r="D59" s="29"/>
      <c r="E59" s="29"/>
      <c r="F59" s="29"/>
      <c r="G59" s="29"/>
      <c r="H59" s="29"/>
      <c r="I59" s="29"/>
      <c r="J59" s="4"/>
    </row>
    <row r="60" customFormat="false" ht="75" hidden="false" customHeight="true" outlineLevel="0" collapsed="false">
      <c r="A60" s="16"/>
      <c r="B60" s="45"/>
      <c r="C60" s="45"/>
      <c r="D60" s="45"/>
      <c r="E60" s="45"/>
      <c r="F60" s="45"/>
      <c r="G60" s="45"/>
      <c r="H60" s="45"/>
      <c r="I60" s="45"/>
      <c r="J60" s="4"/>
    </row>
    <row r="61" customFormat="false" ht="13.8" hidden="false" customHeight="false" outlineLevel="0" collapsed="false">
      <c r="A61" s="1"/>
      <c r="B61" s="31"/>
      <c r="C61" s="31"/>
      <c r="D61" s="31"/>
      <c r="E61" s="31"/>
      <c r="F61" s="31"/>
      <c r="G61" s="31"/>
      <c r="H61" s="31"/>
      <c r="I61" s="31"/>
      <c r="J61" s="1"/>
    </row>
    <row r="62" customFormat="false" ht="13.8" hidden="false" customHeight="false" outlineLevel="0" collapsed="false">
      <c r="A62" s="16"/>
      <c r="B62" s="17" t="s">
        <v>57</v>
      </c>
      <c r="C62" s="17"/>
      <c r="D62" s="17"/>
      <c r="E62" s="17"/>
      <c r="F62" s="17"/>
      <c r="G62" s="17"/>
      <c r="H62" s="18" t="s">
        <v>16</v>
      </c>
      <c r="I62" s="19" t="s">
        <v>17</v>
      </c>
      <c r="J62" s="4"/>
    </row>
    <row r="63" customFormat="false" ht="45.75" hidden="false" customHeight="true" outlineLevel="0" collapsed="false">
      <c r="A63" s="16"/>
      <c r="B63" s="20" t="s">
        <v>58</v>
      </c>
      <c r="C63" s="20"/>
      <c r="D63" s="20"/>
      <c r="E63" s="20"/>
      <c r="F63" s="20"/>
      <c r="G63" s="20"/>
      <c r="H63" s="18"/>
      <c r="I63" s="19"/>
      <c r="J63" s="4"/>
    </row>
    <row r="64" customFormat="false" ht="15" hidden="false" customHeight="true" outlineLevel="0" collapsed="false">
      <c r="A64" s="16"/>
      <c r="B64" s="46" t="s">
        <v>59</v>
      </c>
      <c r="C64" s="46"/>
      <c r="D64" s="46"/>
      <c r="E64" s="46"/>
      <c r="F64" s="46"/>
      <c r="G64" s="46"/>
      <c r="H64" s="34" t="n">
        <v>2</v>
      </c>
      <c r="I64" s="23" t="n">
        <v>2</v>
      </c>
      <c r="J64" s="4"/>
    </row>
    <row r="65" customFormat="false" ht="15" hidden="false" customHeight="true" outlineLevel="0" collapsed="false">
      <c r="A65" s="16"/>
      <c r="B65" s="46" t="s">
        <v>60</v>
      </c>
      <c r="C65" s="46"/>
      <c r="D65" s="46"/>
      <c r="E65" s="46"/>
      <c r="F65" s="46"/>
      <c r="G65" s="46"/>
      <c r="H65" s="34" t="n">
        <v>2</v>
      </c>
      <c r="I65" s="23" t="n">
        <v>2</v>
      </c>
      <c r="J65" s="4"/>
    </row>
    <row r="66" customFormat="false" ht="15" hidden="false" customHeight="true" outlineLevel="0" collapsed="false">
      <c r="A66" s="16"/>
      <c r="B66" s="46" t="s">
        <v>61</v>
      </c>
      <c r="C66" s="46"/>
      <c r="D66" s="46"/>
      <c r="E66" s="46"/>
      <c r="F66" s="46"/>
      <c r="G66" s="46"/>
      <c r="H66" s="34" t="n">
        <v>3.5</v>
      </c>
      <c r="I66" s="23" t="n">
        <v>4</v>
      </c>
      <c r="J66" s="4"/>
    </row>
    <row r="67" customFormat="false" ht="45" hidden="false" customHeight="true" outlineLevel="0" collapsed="false">
      <c r="A67" s="16"/>
      <c r="B67" s="46" t="s">
        <v>62</v>
      </c>
      <c r="C67" s="46"/>
      <c r="D67" s="46"/>
      <c r="E67" s="46"/>
      <c r="F67" s="46"/>
      <c r="G67" s="46"/>
      <c r="H67" s="34" t="n">
        <v>2</v>
      </c>
      <c r="I67" s="23" t="n">
        <v>2</v>
      </c>
      <c r="J67" s="4"/>
    </row>
    <row r="68" customFormat="false" ht="13.8" hidden="false" customHeight="false" outlineLevel="0" collapsed="false">
      <c r="A68" s="16"/>
      <c r="B68" s="26" t="s">
        <v>24</v>
      </c>
      <c r="C68" s="26"/>
      <c r="D68" s="26"/>
      <c r="E68" s="26"/>
      <c r="F68" s="26"/>
      <c r="G68" s="26"/>
      <c r="H68" s="27" t="n">
        <f aca="false">SUM(H64:H67)</f>
        <v>9.5</v>
      </c>
      <c r="I68" s="28" t="n">
        <f aca="false">SUM(I64:I67)</f>
        <v>10</v>
      </c>
      <c r="J68" s="4"/>
    </row>
    <row r="69" customFormat="false" ht="13.8" hidden="false" customHeight="false" outlineLevel="0" collapsed="false">
      <c r="A69" s="16"/>
      <c r="B69" s="29" t="s">
        <v>25</v>
      </c>
      <c r="C69" s="29"/>
      <c r="D69" s="29"/>
      <c r="E69" s="29"/>
      <c r="F69" s="29"/>
      <c r="G69" s="29"/>
      <c r="H69" s="29"/>
      <c r="I69" s="29"/>
      <c r="J69" s="4"/>
    </row>
    <row r="70" customFormat="false" ht="75" hidden="false" customHeight="true" outlineLevel="0" collapsed="false">
      <c r="A70" s="16"/>
      <c r="B70" s="45" t="s">
        <v>63</v>
      </c>
      <c r="C70" s="45"/>
      <c r="D70" s="45"/>
      <c r="E70" s="45"/>
      <c r="F70" s="45"/>
      <c r="G70" s="45"/>
      <c r="H70" s="45"/>
      <c r="I70" s="45"/>
      <c r="J70" s="4"/>
    </row>
    <row r="71" customFormat="false" ht="13.8" hidden="false" customHeight="false" outlineLevel="0" collapsed="false">
      <c r="A71" s="1"/>
      <c r="B71" s="47"/>
      <c r="C71" s="47"/>
      <c r="D71" s="47"/>
      <c r="E71" s="47"/>
      <c r="F71" s="47"/>
      <c r="G71" s="47"/>
      <c r="H71" s="47"/>
      <c r="I71" s="48"/>
      <c r="J71" s="1"/>
    </row>
    <row r="72" customFormat="false" ht="13.8" hidden="false" customHeight="false" outlineLevel="0" collapsed="false">
      <c r="A72" s="1"/>
      <c r="B72" s="17" t="s">
        <v>64</v>
      </c>
      <c r="C72" s="17"/>
      <c r="D72" s="17"/>
      <c r="E72" s="17"/>
      <c r="F72" s="17"/>
      <c r="G72" s="17"/>
      <c r="H72" s="18" t="s">
        <v>16</v>
      </c>
      <c r="I72" s="19" t="s">
        <v>17</v>
      </c>
      <c r="J72" s="1"/>
    </row>
    <row r="73" customFormat="false" ht="60" hidden="false" customHeight="true" outlineLevel="0" collapsed="false">
      <c r="A73" s="1"/>
      <c r="B73" s="20" t="s">
        <v>65</v>
      </c>
      <c r="C73" s="20"/>
      <c r="D73" s="20"/>
      <c r="E73" s="20"/>
      <c r="F73" s="20"/>
      <c r="G73" s="20"/>
      <c r="H73" s="18"/>
      <c r="I73" s="19"/>
      <c r="J73" s="1"/>
    </row>
    <row r="74" customFormat="false" ht="30" hidden="false" customHeight="true" outlineLevel="0" collapsed="false">
      <c r="A74" s="1"/>
      <c r="B74" s="46" t="s">
        <v>66</v>
      </c>
      <c r="C74" s="46"/>
      <c r="D74" s="46"/>
      <c r="E74" s="46"/>
      <c r="F74" s="46"/>
      <c r="G74" s="46"/>
      <c r="H74" s="34" t="n">
        <v>5</v>
      </c>
      <c r="I74" s="23" t="n">
        <v>5</v>
      </c>
      <c r="J74" s="1"/>
    </row>
    <row r="75" customFormat="false" ht="15" hidden="false" customHeight="true" outlineLevel="0" collapsed="false">
      <c r="A75" s="1"/>
      <c r="B75" s="46" t="s">
        <v>67</v>
      </c>
      <c r="C75" s="46"/>
      <c r="D75" s="46"/>
      <c r="E75" s="46"/>
      <c r="F75" s="46"/>
      <c r="G75" s="46"/>
      <c r="H75" s="34" t="n">
        <v>5</v>
      </c>
      <c r="I75" s="23" t="n">
        <v>5</v>
      </c>
      <c r="J75" s="1"/>
    </row>
    <row r="76" customFormat="false" ht="13.8" hidden="false" customHeight="false" outlineLevel="0" collapsed="false">
      <c r="A76" s="1"/>
      <c r="B76" s="26" t="s">
        <v>24</v>
      </c>
      <c r="C76" s="26"/>
      <c r="D76" s="26"/>
      <c r="E76" s="26"/>
      <c r="F76" s="26"/>
      <c r="G76" s="26"/>
      <c r="H76" s="27" t="n">
        <f aca="false">SUM(H74:H75)</f>
        <v>10</v>
      </c>
      <c r="I76" s="28" t="n">
        <f aca="false">SUM(I74:I75)</f>
        <v>10</v>
      </c>
      <c r="J76" s="1"/>
    </row>
    <row r="77" customFormat="false" ht="13.8" hidden="false" customHeight="false" outlineLevel="0" collapsed="false">
      <c r="A77" s="1"/>
      <c r="B77" s="29" t="s">
        <v>25</v>
      </c>
      <c r="C77" s="29"/>
      <c r="D77" s="29"/>
      <c r="E77" s="29"/>
      <c r="F77" s="29"/>
      <c r="G77" s="29"/>
      <c r="H77" s="29"/>
      <c r="I77" s="29"/>
      <c r="J77" s="1"/>
    </row>
    <row r="78" customFormat="false" ht="75" hidden="false" customHeight="true" outlineLevel="0" collapsed="false">
      <c r="A78" s="15"/>
      <c r="B78" s="30"/>
      <c r="C78" s="30"/>
      <c r="D78" s="30"/>
      <c r="E78" s="30"/>
      <c r="F78" s="30"/>
      <c r="G78" s="30"/>
      <c r="H78" s="30"/>
      <c r="I78" s="30"/>
      <c r="J78" s="1"/>
    </row>
    <row r="79" customFormat="false" ht="30" hidden="false" customHeight="true" outlineLevel="0" collapsed="false">
      <c r="A79" s="1"/>
      <c r="B79" s="47"/>
      <c r="C79" s="47"/>
      <c r="D79" s="47"/>
      <c r="E79" s="47"/>
      <c r="F79" s="47"/>
      <c r="G79" s="47"/>
      <c r="H79" s="47"/>
      <c r="I79" s="47"/>
      <c r="J79" s="1"/>
    </row>
    <row r="80" customFormat="false" ht="15" hidden="false" customHeight="false" outlineLevel="0" collapsed="false">
      <c r="A80" s="1"/>
      <c r="B80" s="1"/>
      <c r="C80" s="1"/>
      <c r="D80" s="1"/>
      <c r="E80" s="1"/>
      <c r="F80" s="1"/>
      <c r="G80" s="1"/>
      <c r="H80" s="1"/>
      <c r="I80" s="1"/>
      <c r="J80" s="1"/>
    </row>
    <row r="81" customFormat="false" ht="15" hidden="false" customHeight="false" outlineLevel="0" collapsed="false">
      <c r="A81" s="1"/>
      <c r="B81" s="1"/>
      <c r="C81" s="1"/>
      <c r="D81" s="1"/>
      <c r="E81" s="1"/>
      <c r="F81" s="1"/>
      <c r="G81" s="1"/>
      <c r="H81" s="1"/>
      <c r="I81" s="1"/>
      <c r="J81" s="1"/>
    </row>
    <row r="82" customFormat="false" ht="15" hidden="false" customHeight="false" outlineLevel="0" collapsed="false">
      <c r="A82" s="47"/>
      <c r="J82" s="1"/>
    </row>
    <row r="83" customFormat="false" ht="15" hidden="false" customHeight="false" outlineLevel="0" collapsed="false">
      <c r="A83" s="1"/>
      <c r="J83" s="1"/>
    </row>
    <row r="84" customFormat="false" ht="15" hidden="false" customHeight="false" outlineLevel="0" collapsed="false">
      <c r="A84" s="1"/>
      <c r="J84" s="1"/>
    </row>
    <row r="85" customFormat="false" ht="15" hidden="false" customHeight="false" outlineLevel="0" collapsed="false">
      <c r="A85" s="1"/>
      <c r="J85" s="1"/>
    </row>
    <row r="86" customFormat="false" ht="15" hidden="false" customHeight="false" outlineLevel="0" collapsed="false">
      <c r="A86" s="1"/>
      <c r="J86" s="1"/>
    </row>
    <row r="87" customFormat="false" ht="15" hidden="false" customHeight="false" outlineLevel="0" collapsed="false">
      <c r="A87" s="1"/>
      <c r="J87" s="1"/>
    </row>
    <row r="88" customFormat="false" ht="15" hidden="false" customHeight="false" outlineLevel="0" collapsed="false">
      <c r="A88" s="1"/>
      <c r="J88" s="1"/>
    </row>
    <row r="89" customFormat="false" ht="15" hidden="false" customHeight="false" outlineLevel="0" collapsed="false">
      <c r="A89" s="1"/>
      <c r="J89" s="1"/>
    </row>
    <row r="90" customFormat="false" ht="15" hidden="false" customHeight="false" outlineLevel="0" collapsed="false">
      <c r="A90" s="1"/>
      <c r="J90" s="1"/>
    </row>
    <row r="91" customFormat="false" ht="15" hidden="false" customHeight="false" outlineLevel="0" collapsed="false">
      <c r="A91" s="1"/>
      <c r="J91" s="1"/>
    </row>
    <row r="92" customFormat="false" ht="15" hidden="false" customHeight="false" outlineLevel="0" collapsed="false">
      <c r="A92" s="1"/>
      <c r="J92" s="1"/>
    </row>
    <row r="93" customFormat="false" ht="15" hidden="false" customHeight="false" outlineLevel="0" collapsed="false">
      <c r="A93" s="1"/>
      <c r="J93" s="1"/>
    </row>
    <row r="94" customFormat="false" ht="15" hidden="false" customHeight="false" outlineLevel="0" collapsed="false">
      <c r="A94" s="1"/>
      <c r="J94" s="1"/>
    </row>
    <row r="95" customFormat="false" ht="15" hidden="false" customHeight="false" outlineLevel="0" collapsed="false">
      <c r="A95" s="1"/>
      <c r="J95" s="1"/>
    </row>
    <row r="96" customFormat="false" ht="15" hidden="false" customHeight="false" outlineLevel="0" collapsed="false">
      <c r="A96" s="1"/>
      <c r="J96" s="1"/>
    </row>
    <row r="97" customFormat="false" ht="15" hidden="false" customHeight="false" outlineLevel="0" collapsed="false">
      <c r="A97" s="1"/>
      <c r="J97" s="1"/>
    </row>
    <row r="98" customFormat="false" ht="15" hidden="false" customHeight="false" outlineLevel="0" collapsed="false">
      <c r="A98" s="1"/>
      <c r="J98" s="1"/>
    </row>
    <row r="99" customFormat="false" ht="15" hidden="false" customHeight="false" outlineLevel="0" collapsed="false">
      <c r="A99" s="1"/>
      <c r="J99" s="1"/>
    </row>
    <row r="100" customFormat="false" ht="15" hidden="false" customHeight="false" outlineLevel="0" collapsed="false">
      <c r="A100" s="1"/>
      <c r="J100" s="1"/>
    </row>
    <row r="101" customFormat="false" ht="15" hidden="false" customHeight="false" outlineLevel="0" collapsed="false">
      <c r="A101" s="1"/>
      <c r="J101" s="1"/>
    </row>
    <row r="102" customFormat="false" ht="15" hidden="false" customHeight="false" outlineLevel="0" collapsed="false">
      <c r="A102" s="1"/>
      <c r="J102" s="1"/>
    </row>
    <row r="103" customFormat="false" ht="15" hidden="false" customHeight="false" outlineLevel="0" collapsed="false">
      <c r="A103" s="1"/>
      <c r="J103" s="1"/>
    </row>
    <row r="104" customFormat="false" ht="15" hidden="false" customHeight="false" outlineLevel="0" collapsed="false">
      <c r="A104" s="1"/>
      <c r="J104" s="1"/>
    </row>
    <row r="105" customFormat="false" ht="15" hidden="false" customHeight="false" outlineLevel="0" collapsed="false">
      <c r="A105" s="1"/>
      <c r="J105" s="1"/>
    </row>
    <row r="106" customFormat="false" ht="15" hidden="false" customHeight="false" outlineLevel="0" collapsed="false">
      <c r="A106" s="1"/>
      <c r="J106" s="1"/>
    </row>
    <row r="107" customFormat="false" ht="15" hidden="false" customHeight="false" outlineLevel="0" collapsed="false">
      <c r="A107" s="1"/>
      <c r="J107" s="1"/>
    </row>
    <row r="108" customFormat="false" ht="15" hidden="false" customHeight="false" outlineLevel="0" collapsed="false">
      <c r="A108" s="1"/>
      <c r="J108" s="1"/>
    </row>
    <row r="109" customFormat="false" ht="15" hidden="false" customHeight="false" outlineLevel="0" collapsed="false">
      <c r="A109" s="1"/>
      <c r="J109" s="1"/>
    </row>
    <row r="110" customFormat="false" ht="15" hidden="false" customHeight="false" outlineLevel="0" collapsed="false">
      <c r="A110" s="1"/>
      <c r="J110" s="1"/>
    </row>
    <row r="111" customFormat="false" ht="15" hidden="false" customHeight="false" outlineLevel="0" collapsed="false">
      <c r="A111" s="1"/>
      <c r="J111" s="1"/>
    </row>
    <row r="112" customFormat="false" ht="15" hidden="false" customHeight="false" outlineLevel="0" collapsed="false">
      <c r="A112" s="1"/>
    </row>
    <row r="113" customFormat="false" ht="15" hidden="false" customHeight="false" outlineLevel="0" collapsed="false">
      <c r="A113" s="1"/>
    </row>
  </sheetData>
  <mergeCells count="85">
    <mergeCell ref="B1:I1"/>
    <mergeCell ref="B2:I2"/>
    <mergeCell ref="H6:I6"/>
    <mergeCell ref="B8:G8"/>
    <mergeCell ref="H8:H9"/>
    <mergeCell ref="I8:I9"/>
    <mergeCell ref="B9:G9"/>
    <mergeCell ref="B10:G10"/>
    <mergeCell ref="B11:G11"/>
    <mergeCell ref="B12:G12"/>
    <mergeCell ref="B13:G13"/>
    <mergeCell ref="B14:G14"/>
    <mergeCell ref="B15:G15"/>
    <mergeCell ref="B16:I16"/>
    <mergeCell ref="B17:I17"/>
    <mergeCell ref="B19:G19"/>
    <mergeCell ref="H19:H20"/>
    <mergeCell ref="I19:I20"/>
    <mergeCell ref="B20:G20"/>
    <mergeCell ref="B21:B22"/>
    <mergeCell ref="C21:G21"/>
    <mergeCell ref="C22:G22"/>
    <mergeCell ref="B23:B24"/>
    <mergeCell ref="C23:G23"/>
    <mergeCell ref="C24:G24"/>
    <mergeCell ref="B25:G25"/>
    <mergeCell ref="B26:I26"/>
    <mergeCell ref="B27:I27"/>
    <mergeCell ref="B29:G29"/>
    <mergeCell ref="H29:H30"/>
    <mergeCell ref="I29:I30"/>
    <mergeCell ref="B30:G30"/>
    <mergeCell ref="B31:B38"/>
    <mergeCell ref="C31:G31"/>
    <mergeCell ref="C32:G32"/>
    <mergeCell ref="C33:G33"/>
    <mergeCell ref="C34:G34"/>
    <mergeCell ref="C35:G35"/>
    <mergeCell ref="C36:G36"/>
    <mergeCell ref="C37:G37"/>
    <mergeCell ref="C38:G38"/>
    <mergeCell ref="B39:B46"/>
    <mergeCell ref="C39:G39"/>
    <mergeCell ref="C40:G40"/>
    <mergeCell ref="C41:G41"/>
    <mergeCell ref="C42:G42"/>
    <mergeCell ref="C43:G43"/>
    <mergeCell ref="C44:G44"/>
    <mergeCell ref="C45:G45"/>
    <mergeCell ref="C46:G46"/>
    <mergeCell ref="B47:G47"/>
    <mergeCell ref="B48:I48"/>
    <mergeCell ref="B49:I49"/>
    <mergeCell ref="B51:G51"/>
    <mergeCell ref="H51:H52"/>
    <mergeCell ref="I51:I52"/>
    <mergeCell ref="B52:G52"/>
    <mergeCell ref="B53:G53"/>
    <mergeCell ref="B54:G54"/>
    <mergeCell ref="B55:G55"/>
    <mergeCell ref="B56:G56"/>
    <mergeCell ref="B57:G57"/>
    <mergeCell ref="B58:G58"/>
    <mergeCell ref="B59:I59"/>
    <mergeCell ref="B60:I60"/>
    <mergeCell ref="B62:G62"/>
    <mergeCell ref="H62:H63"/>
    <mergeCell ref="I62:I63"/>
    <mergeCell ref="B63:G63"/>
    <mergeCell ref="B64:G64"/>
    <mergeCell ref="B65:G65"/>
    <mergeCell ref="B66:G66"/>
    <mergeCell ref="B67:G67"/>
    <mergeCell ref="B68:G68"/>
    <mergeCell ref="B69:I69"/>
    <mergeCell ref="B70:I70"/>
    <mergeCell ref="B72:G72"/>
    <mergeCell ref="H72:H73"/>
    <mergeCell ref="I72:I73"/>
    <mergeCell ref="B73:G73"/>
    <mergeCell ref="B74:G74"/>
    <mergeCell ref="B75:G75"/>
    <mergeCell ref="B76:G76"/>
    <mergeCell ref="B77:I77"/>
    <mergeCell ref="B78:I78"/>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ACDBF88A9250D40AA8C4CB33C7BC1D5" ma:contentTypeVersion="13" ma:contentTypeDescription="Create a new document." ma:contentTypeScope="" ma:versionID="acfc95b4175e5c4f375271e20d20f050">
  <xsd:schema xmlns:xsd="http://www.w3.org/2001/XMLSchema" xmlns:xs="http://www.w3.org/2001/XMLSchema" xmlns:p="http://schemas.microsoft.com/office/2006/metadata/properties" xmlns:ns3="45a621cc-e608-483e-bf15-cf2410316bc5" xmlns:ns4="7fcadad3-c00d-42d2-875a-8f6b48bc25aa" targetNamespace="http://schemas.microsoft.com/office/2006/metadata/properties" ma:root="true" ma:fieldsID="2664c2c65e6e7174bf11c1decb412757" ns3:_="" ns4:_="">
    <xsd:import namespace="45a621cc-e608-483e-bf15-cf2410316bc5"/>
    <xsd:import namespace="7fcadad3-c00d-42d2-875a-8f6b48bc25aa"/>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DateTaken"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5a621cc-e608-483e-bf15-cf2410316b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fcadad3-c00d-42d2-875a-8f6b48bc25a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0B58886-91BD-4467-B07F-C1C6DE253603}">
  <ds:schemaRefs>
    <ds:schemaRef ds:uri="7fcadad3-c00d-42d2-875a-8f6b48bc25aa"/>
    <ds:schemaRef ds:uri="http://schemas.microsoft.com/office/2006/documentManagement/types"/>
    <ds:schemaRef ds:uri="http://purl.org/dc/terms/"/>
    <ds:schemaRef ds:uri="http://purl.org/dc/dcmitype/"/>
    <ds:schemaRef ds:uri="http://purl.org/dc/elements/1.1/"/>
    <ds:schemaRef ds:uri="http://schemas.openxmlformats.org/package/2006/metadata/core-properties"/>
    <ds:schemaRef ds:uri="http://schemas.microsoft.com/office/2006/metadata/properties"/>
    <ds:schemaRef ds:uri="http://www.w3.org/XML/1998/namespace"/>
    <ds:schemaRef ds:uri="http://schemas.microsoft.com/office/infopath/2007/PartnerControls"/>
    <ds:schemaRef ds:uri="45a621cc-e608-483e-bf15-cf2410316bc5"/>
  </ds:schemaRefs>
</ds:datastoreItem>
</file>

<file path=customXml/itemProps2.xml><?xml version="1.0" encoding="utf-8"?>
<ds:datastoreItem xmlns:ds="http://schemas.openxmlformats.org/officeDocument/2006/customXml" ds:itemID="{D9E7A403-44AF-4D83-8975-85E7E3D2F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5a621cc-e608-483e-bf15-cf2410316bc5"/>
    <ds:schemaRef ds:uri="7fcadad3-c00d-42d2-875a-8f6b48bc25a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AF59355-D220-4A08-8B88-F796EF2D52A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
  <TotalTime>19</TotalTime>
  <Application>LibreOffice/6.4.3.2$Windows_X86_64 LibreOffice_project/747b5d0ebf89f41c860ec2a39efd7cb15b54f2d8</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2020-05-05T13:51:22Z</dcterms:created>
  <dc:creator>Benjamin Lewis</dc:creator>
  <dc:description/>
  <dc:language>en-AU</dc:language>
  <cp:lastModifiedBy/>
  <dcterms:modified xsi:type="dcterms:W3CDTF">2020-05-17T15:06:12Z</dcterms:modified>
  <cp:revision>12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0x0101007ACDBF88A9250D40AA8C4CB33C7BC1D5</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